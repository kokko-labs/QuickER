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ta2\Desktop\"/>
    </mc:Choice>
  </mc:AlternateContent>
  <xr:revisionPtr revIDLastSave="0" documentId="13_ncr:1_{2C87FC72-D424-4019-A005-4BB6B968F719}" xr6:coauthVersionLast="47" xr6:coauthVersionMax="47" xr10:uidLastSave="{00000000-0000-0000-0000-000000000000}"/>
  <bookViews>
    <workbookView xWindow="13215" yWindow="3600" windowWidth="24510" windowHeight="15570" tabRatio="944" xr2:uid="{00000000-000D-0000-FFFF-FFFF00000000}"/>
  </bookViews>
  <sheets>
    <sheet name="テーブル一覧" sheetId="2" r:id="rId1"/>
    <sheet name="リレーション一覧" sheetId="43" r:id="rId2"/>
    <sheet name="Work" sheetId="42" r:id="rId3"/>
    <sheet name="AirflowMeasureHeader" sheetId="7" r:id="rId4"/>
    <sheet name="AirflowMeasureSubHeader" sheetId="5" r:id="rId5"/>
  </sheets>
  <definedNames>
    <definedName name="_xlnm.Print_Area" localSheetId="3">AirflowMeasureHeader!$A$1:$G$16</definedName>
    <definedName name="_xlnm.Print_Area" localSheetId="4">AirflowMeasureSubHeader!$A$1:$G$31</definedName>
    <definedName name="_xlnm.Print_Area" localSheetId="2">Work!$A$1:$G$29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" i="5" l="1"/>
  <c r="A2" i="7"/>
  <c r="A2" i="42"/>
</calcChain>
</file>

<file path=xl/sharedStrings.xml><?xml version="1.0" encoding="utf-8"?>
<sst xmlns="http://schemas.openxmlformats.org/spreadsheetml/2006/main" count="294" uniqueCount="163">
  <si>
    <t>No.</t>
  </si>
  <si>
    <t>テーブル名</t>
  </si>
  <si>
    <t>カラム名</t>
  </si>
  <si>
    <t>データ型</t>
  </si>
  <si>
    <t>必須</t>
  </si>
  <si>
    <t>キー</t>
  </si>
  <si>
    <t>備考</t>
  </si>
  <si>
    <t>〇</t>
  </si>
  <si>
    <t>PK</t>
  </si>
  <si>
    <t>空調機器カテゴリID</t>
  </si>
  <si>
    <t>Remarks</t>
  </si>
  <si>
    <t>SortNumber</t>
  </si>
  <si>
    <t>並び順</t>
  </si>
  <si>
    <t>int</t>
  </si>
  <si>
    <t>bit</t>
  </si>
  <si>
    <t>UpdateUserId</t>
  </si>
  <si>
    <t>更新ユーザーID</t>
  </si>
  <si>
    <t>UpdateDate</t>
  </si>
  <si>
    <t>更新日時</t>
  </si>
  <si>
    <t>テーブル一覧に戻る</t>
  </si>
  <si>
    <t>WorkId</t>
  </si>
  <si>
    <t>業務ID</t>
  </si>
  <si>
    <t>FK1</t>
  </si>
  <si>
    <t>系統名</t>
  </si>
  <si>
    <t>空調名</t>
  </si>
  <si>
    <t>UseSpec</t>
  </si>
  <si>
    <t>能力値表示有無</t>
  </si>
  <si>
    <t>OutputValue</t>
  </si>
  <si>
    <t>RatedCurrentValue</t>
  </si>
  <si>
    <t>定格電流値</t>
  </si>
  <si>
    <t>ActualCurrentValue</t>
  </si>
  <si>
    <t>実働電流値</t>
  </si>
  <si>
    <t>InverterOutputValue</t>
  </si>
  <si>
    <t>インバーター出力値</t>
  </si>
  <si>
    <t>DuctStaticPressureValue</t>
  </si>
  <si>
    <t>ダクト静圧値</t>
  </si>
  <si>
    <t>MeasureStatus</t>
  </si>
  <si>
    <t>測定状況</t>
  </si>
  <si>
    <t>Work.WorkId</t>
  </si>
  <si>
    <t>BreezeLineSize</t>
  </si>
  <si>
    <t>ブリーズラインサイズ</t>
  </si>
  <si>
    <t>測定日</t>
  </si>
  <si>
    <t>date</t>
  </si>
  <si>
    <t>測定機器ID</t>
  </si>
  <si>
    <t>LocationCategoryId</t>
  </si>
  <si>
    <t>測定場所カテゴリID</t>
  </si>
  <si>
    <t>AirconditionerFactorType</t>
  </si>
  <si>
    <t>空調機器係数区分</t>
  </si>
  <si>
    <t>顧客ID</t>
  </si>
  <si>
    <t>SiteId</t>
  </si>
  <si>
    <t>現場ID</t>
  </si>
  <si>
    <t>Work</t>
  </si>
  <si>
    <t>WorkName</t>
  </si>
  <si>
    <t>業務名</t>
  </si>
  <si>
    <t>現場種別</t>
  </si>
  <si>
    <t>WorkEntryDate</t>
  </si>
  <si>
    <t>記入日</t>
  </si>
  <si>
    <t>WorkEntryUserId</t>
  </si>
  <si>
    <t>記入者ユーザーID</t>
  </si>
  <si>
    <t>ManagerCheck</t>
  </si>
  <si>
    <t>責任者チェック</t>
  </si>
  <si>
    <t>WorkOfficeAddress</t>
  </si>
  <si>
    <t>現場事務所住所</t>
  </si>
  <si>
    <t>WorkScheduledDateFrom</t>
  </si>
  <si>
    <t>作業予定日（自）</t>
  </si>
  <si>
    <t>WorkScheduledDateTo</t>
  </si>
  <si>
    <t>作業予定日（至）</t>
  </si>
  <si>
    <t>IsDigital</t>
  </si>
  <si>
    <t>デジタル計測器</t>
  </si>
  <si>
    <t>IsLogger</t>
  </si>
  <si>
    <t>データロガー</t>
  </si>
  <si>
    <t>UnknownMeasureName</t>
  </si>
  <si>
    <t>不明測定名</t>
  </si>
  <si>
    <t>OtherMeasureName</t>
  </si>
  <si>
    <t>他測定名</t>
  </si>
  <si>
    <t>ProblemComment</t>
  </si>
  <si>
    <t>問題点コメント</t>
  </si>
  <si>
    <t>UnfinishedWorkComment</t>
  </si>
  <si>
    <t>未成工事コメント</t>
  </si>
  <si>
    <t>ManagerComment</t>
  </si>
  <si>
    <t>職長コメント</t>
  </si>
  <si>
    <t>DirectorComment</t>
  </si>
  <si>
    <t>部長コメント</t>
  </si>
  <si>
    <t>PresidentCommnet</t>
  </si>
  <si>
    <t>社長コメント</t>
  </si>
  <si>
    <t>業務</t>
  </si>
  <si>
    <t>OfficeId</t>
    <phoneticPr fontId="4"/>
  </si>
  <si>
    <t>オフィスID</t>
    <phoneticPr fontId="4"/>
  </si>
  <si>
    <t>SortNumber</t>
    <phoneticPr fontId="4"/>
  </si>
  <si>
    <t>UseTotal</t>
    <phoneticPr fontId="4"/>
  </si>
  <si>
    <t>DeviceId</t>
    <phoneticPr fontId="4"/>
  </si>
  <si>
    <t>UseJudgement</t>
    <phoneticPr fontId="4"/>
  </si>
  <si>
    <t>bit</t>
    <phoneticPr fontId="4"/>
  </si>
  <si>
    <t>WorkSiteType</t>
    <phoneticPr fontId="4"/>
  </si>
  <si>
    <t>AirflowMeasureHeader</t>
    <phoneticPr fontId="4"/>
  </si>
  <si>
    <t>風量測定ヘッダー</t>
    <phoneticPr fontId="4"/>
  </si>
  <si>
    <t>AirflowMeasureHeaderId</t>
    <phoneticPr fontId="4"/>
  </si>
  <si>
    <t>風量測定ヘッダーID</t>
    <phoneticPr fontId="4"/>
  </si>
  <si>
    <t>EquipmentName</t>
    <phoneticPr fontId="4"/>
  </si>
  <si>
    <t>機器種別名</t>
    <rPh sb="4" eb="5">
      <t>メイ</t>
    </rPh>
    <phoneticPr fontId="4"/>
  </si>
  <si>
    <t>詳細</t>
    <rPh sb="0" eb="2">
      <t>ショウサイ</t>
    </rPh>
    <phoneticPr fontId="4"/>
  </si>
  <si>
    <t>詳細</t>
    <phoneticPr fontId="4"/>
  </si>
  <si>
    <r>
      <rPr>
        <u/>
        <sz val="11"/>
        <color theme="10"/>
        <rFont val="游ゴシック"/>
        <family val="2"/>
      </rPr>
      <t>詳細</t>
    </r>
    <phoneticPr fontId="4"/>
  </si>
  <si>
    <t>MeasureDate</t>
    <phoneticPr fontId="4"/>
  </si>
  <si>
    <t>AirflowMeasureSubHeader</t>
    <phoneticPr fontId="4"/>
  </si>
  <si>
    <r>
      <rPr>
        <u/>
        <sz val="11"/>
        <color theme="10"/>
        <rFont val="游ゴシック"/>
        <family val="2"/>
      </rPr>
      <t>詳細</t>
    </r>
    <rPh sb="0" eb="2">
      <t>ショウサイ</t>
    </rPh>
    <phoneticPr fontId="4"/>
  </si>
  <si>
    <t>風量測定サブヘッダー</t>
    <phoneticPr fontId="4"/>
  </si>
  <si>
    <t>AirflowMeasureSubHeaderId</t>
    <phoneticPr fontId="4"/>
  </si>
  <si>
    <t>風量測定サブヘッダーID</t>
    <phoneticPr fontId="4"/>
  </si>
  <si>
    <t>AirflowMeasureHeader.AirflowMeasureHeaderId</t>
    <phoneticPr fontId="4"/>
  </si>
  <si>
    <t>OperationMode</t>
    <phoneticPr fontId="4"/>
  </si>
  <si>
    <t>運転モード</t>
    <rPh sb="0" eb="2">
      <t>ウンテン</t>
    </rPh>
    <phoneticPr fontId="4"/>
  </si>
  <si>
    <t>AirflowLineName</t>
    <phoneticPr fontId="4"/>
  </si>
  <si>
    <t>AirflowTypeName</t>
    <phoneticPr fontId="4"/>
  </si>
  <si>
    <t>測定状況</t>
    <phoneticPr fontId="4"/>
  </si>
  <si>
    <t>AirconditionerCategoryId</t>
    <phoneticPr fontId="4"/>
  </si>
  <si>
    <t>出力値</t>
    <phoneticPr fontId="4"/>
  </si>
  <si>
    <t>Memo</t>
    <phoneticPr fontId="4"/>
  </si>
  <si>
    <t>メモ</t>
    <phoneticPr fontId="4"/>
  </si>
  <si>
    <t>JudgementValue</t>
    <phoneticPr fontId="4"/>
  </si>
  <si>
    <t>判定値</t>
    <rPh sb="2" eb="3">
      <t>アタイ</t>
    </rPh>
    <phoneticPr fontId="4"/>
  </si>
  <si>
    <t>JudgementResult</t>
    <phoneticPr fontId="4"/>
  </si>
  <si>
    <t>判定結果</t>
    <phoneticPr fontId="4"/>
  </si>
  <si>
    <t>設計風量値合計</t>
    <phoneticPr fontId="4"/>
  </si>
  <si>
    <t>TotalDesignAirflowValue</t>
    <phoneticPr fontId="4"/>
  </si>
  <si>
    <t>判定有無</t>
    <rPh sb="0" eb="2">
      <t>ハンテイ</t>
    </rPh>
    <rPh sb="2" eb="4">
      <t>ウム</t>
    </rPh>
    <phoneticPr fontId="4"/>
  </si>
  <si>
    <t>集計有無</t>
    <phoneticPr fontId="4"/>
  </si>
  <si>
    <t>TotalMeasureAirflowValue</t>
    <phoneticPr fontId="4"/>
  </si>
  <si>
    <t>測定風量値合計</t>
    <rPh sb="0" eb="2">
      <t>ソクテイゴウケイ</t>
    </rPh>
    <phoneticPr fontId="4"/>
  </si>
  <si>
    <t>業務</t>
    <phoneticPr fontId="4"/>
  </si>
  <si>
    <t>CustomerId</t>
    <phoneticPr fontId="4"/>
  </si>
  <si>
    <t>判定上限値</t>
    <rPh sb="2" eb="4">
      <t>ジョウゲン</t>
    </rPh>
    <rPh sb="4" eb="5">
      <t>チ</t>
    </rPh>
    <phoneticPr fontId="4"/>
  </si>
  <si>
    <t>判定下限値</t>
    <rPh sb="2" eb="5">
      <t>カゲンチ</t>
    </rPh>
    <phoneticPr fontId="4"/>
  </si>
  <si>
    <t>JudgementUpperValue</t>
    <phoneticPr fontId="4"/>
  </si>
  <si>
    <t>JudgementLowerValue</t>
    <phoneticPr fontId="4"/>
  </si>
  <si>
    <t>Work</t>
    <phoneticPr fontId="4"/>
  </si>
  <si>
    <t>IsPageBreak</t>
    <phoneticPr fontId="4"/>
  </si>
  <si>
    <t>改ページ</t>
    <rPh sb="0" eb="1">
      <t>カイ</t>
    </rPh>
    <phoneticPr fontId="4"/>
  </si>
  <si>
    <t>説明</t>
    <phoneticPr fontId="4"/>
  </si>
  <si>
    <t>参照元テーブル</t>
    <rPh sb="0" eb="3">
      <t>サンショウモト</t>
    </rPh>
    <phoneticPr fontId="4"/>
  </si>
  <si>
    <t>参照元カラム</t>
    <rPh sb="0" eb="3">
      <t>サンショウモト</t>
    </rPh>
    <phoneticPr fontId="4"/>
  </si>
  <si>
    <t>参照先テーブル</t>
    <rPh sb="0" eb="2">
      <t>サンショウ</t>
    </rPh>
    <rPh sb="2" eb="3">
      <t>サキ</t>
    </rPh>
    <phoneticPr fontId="4"/>
  </si>
  <si>
    <t>参照先カラム</t>
    <rPh sb="0" eb="2">
      <t>サンショウ</t>
    </rPh>
    <rPh sb="2" eb="3">
      <t>サキ</t>
    </rPh>
    <phoneticPr fontId="4"/>
  </si>
  <si>
    <t>制約名</t>
    <rPh sb="0" eb="3">
      <t>セイヤクメイ</t>
    </rPh>
    <phoneticPr fontId="4"/>
  </si>
  <si>
    <t>関係</t>
    <rPh sb="0" eb="2">
      <t>カンケイ</t>
    </rPh>
    <phoneticPr fontId="4"/>
  </si>
  <si>
    <t>N:1</t>
    <phoneticPr fontId="4"/>
  </si>
  <si>
    <t>FK_AirflowMeasureHeader_Work</t>
    <phoneticPr fontId="4"/>
  </si>
  <si>
    <t>FK_AirflowMeasureSubHeader_AirflowMeasureHeader</t>
    <phoneticPr fontId="4"/>
  </si>
  <si>
    <t>WorkId</t>
    <phoneticPr fontId="4"/>
  </si>
  <si>
    <t>参照先</t>
    <rPh sb="0" eb="2">
      <t>サンショウ</t>
    </rPh>
    <rPh sb="2" eb="3">
      <t>サキ</t>
    </rPh>
    <phoneticPr fontId="4"/>
  </si>
  <si>
    <t>ON DELETE</t>
    <phoneticPr fontId="4"/>
  </si>
  <si>
    <t>ON UPDATE</t>
    <phoneticPr fontId="4"/>
  </si>
  <si>
    <t>RESTRICT</t>
    <phoneticPr fontId="4"/>
  </si>
  <si>
    <t>CASCADE</t>
    <phoneticPr fontId="4"/>
  </si>
  <si>
    <t>備考</t>
    <rPh sb="0" eb="2">
      <t>ビコウ</t>
    </rPh>
    <phoneticPr fontId="4"/>
  </si>
  <si>
    <t>説明</t>
  </si>
  <si>
    <t>nvarchar(50)</t>
    <phoneticPr fontId="4"/>
  </si>
  <si>
    <t>nvarchar(200)</t>
    <phoneticPr fontId="4"/>
  </si>
  <si>
    <t>nvarchar(100)</t>
    <phoneticPr fontId="4"/>
  </si>
  <si>
    <t>datetime2(7)</t>
    <phoneticPr fontId="4"/>
  </si>
  <si>
    <t>decimal(10,2)</t>
    <phoneticPr fontId="4"/>
  </si>
  <si>
    <t>decimal(10,3)</t>
    <phoneticPr fontId="4"/>
  </si>
  <si>
    <t>nvarchar(500)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</si>
</sst>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ＭＳ Ｐゴシック"/>
      <family val="2"/>
      <charset val="128"/>
      <scheme val="minor"/>
    </font>
    <font>
      <sz val="11"/>
      <color rgb="FF000000"/>
      <name val="游ゴシック"/>
      <family val="2"/>
    </font>
    <font>
      <u/>
      <sz val="11"/>
      <color theme="10"/>
      <name val="游ゴシック"/>
      <family val="2"/>
    </font>
    <font>
      <sz val="6"/>
      <name val="ＭＳ Ｐゴシック"/>
      <family val="3"/>
      <charset val="128"/>
    </font>
    <font>
      <sz val="11"/>
      <color rgb="FF000000"/>
      <name val="游ゴシック"/>
      <family val="3"/>
      <charset val="128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 applyBorder="0"/>
    <xf numFmtId="0" fontId="6" fillId="0" borderId="0" applyNumberFormat="0" applyFill="0" applyBorder="0" applyAlignment="0" applyProtection="0"/>
    <xf numFmtId="0" fontId="1" fillId="0" borderId="0">
      <alignment vertical="center"/>
    </xf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6" fillId="0" borderId="1" xfId="1" applyNumberFormat="1" applyFill="1" applyBorder="1" applyAlignment="1" applyProtection="1">
      <alignment horizontal="center" vertical="top"/>
    </xf>
  </cellXfs>
  <cellStyles count="3">
    <cellStyle name="ハイパーリンク" xfId="1" builtinId="8"/>
    <cellStyle name="標準" xfId="0" builtinId="0"/>
    <cellStyle name="標準 2" xfId="2" xr:uid="{2E9BA295-31BF-4B6A-B0A5-15FD09066F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"/>
  <sheetViews>
    <sheetView tabSelected="1" workbookViewId="0"/>
  </sheetViews>
  <sheetFormatPr defaultRowHeight="18.75" x14ac:dyDescent="0.25"/>
  <cols>
    <col min="1" max="1" width="5" style="1" bestFit="1" customWidth="1"/>
    <col min="2" max="2" width="6" style="1" bestFit="1" customWidth="1"/>
    <col min="3" max="4" width="35.7109375" style="1" customWidth="1"/>
    <col min="5" max="5" width="50.7109375" style="1" customWidth="1"/>
    <col min="6" max="16384" width="9.140625" style="1"/>
  </cols>
  <sheetData>
    <row r="1" spans="1:5" x14ac:dyDescent="0.25">
      <c r="A1" s="2" t="s">
        <v>0</v>
      </c>
      <c r="B1" s="2" t="s">
        <v>100</v>
      </c>
      <c r="C1" s="2" t="s">
        <v>1</v>
      </c>
      <c r="D1" s="2" t="s">
        <v>138</v>
      </c>
      <c r="E1" s="2" t="s">
        <v>154</v>
      </c>
    </row>
    <row r="2" spans="1:5" x14ac:dyDescent="0.25">
      <c r="A2" s="6">
        <v>1</v>
      </c>
      <c r="B2" s="7" t="s">
        <v>101</v>
      </c>
      <c r="C2" s="3" t="s">
        <v>51</v>
      </c>
      <c r="D2" s="3" t="s">
        <v>85</v>
      </c>
      <c r="E2" s="3"/>
    </row>
    <row r="3" spans="1:5" x14ac:dyDescent="0.25">
      <c r="A3" s="6">
        <v>2</v>
      </c>
      <c r="B3" s="8" t="s">
        <v>102</v>
      </c>
      <c r="C3" s="3" t="s">
        <v>94</v>
      </c>
      <c r="D3" s="3" t="s">
        <v>95</v>
      </c>
      <c r="E3" s="3"/>
    </row>
    <row r="4" spans="1:5" x14ac:dyDescent="0.25">
      <c r="A4" s="6">
        <v>3</v>
      </c>
      <c r="B4" s="8" t="s">
        <v>105</v>
      </c>
      <c r="C4" s="3" t="s">
        <v>104</v>
      </c>
      <c r="D4" s="3" t="s">
        <v>106</v>
      </c>
      <c r="E4" s="3"/>
    </row>
  </sheetData>
  <phoneticPr fontId="4"/>
  <hyperlinks>
    <hyperlink ref="B4" location="AirflowMeasureSubHeader!A1" display="詳細" xr:uid="{98C2EA86-0AA2-4D8A-A57D-D238E14BB323}"/>
    <hyperlink ref="B3" location="AirflowMeasureHeader!A1" display="詳細" xr:uid="{7D968503-3283-485B-AD03-104A37479F36}"/>
    <hyperlink ref="B2" location="'Work'!A1" display="40" xr:uid="{7F405ADB-4995-46CF-ABAF-45D84892EB25}"/>
  </hyperlinks>
  <pageMargins left="0.75" right="0.75" top="0.75" bottom="0.5" header="0.5" footer="0.75"/>
  <pageSetup paperSize="9" scale="9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56EA-7EEF-44FB-AA6E-4E62D4D2F9AA}">
  <sheetPr>
    <pageSetUpPr fitToPage="1"/>
  </sheetPr>
  <dimension ref="A1:J3"/>
  <sheetViews>
    <sheetView workbookViewId="0">
      <selection activeCell="A4" sqref="A4"/>
    </sheetView>
  </sheetViews>
  <sheetFormatPr defaultRowHeight="18.75" x14ac:dyDescent="0.25"/>
  <cols>
    <col min="1" max="1" width="5" style="1" bestFit="1" customWidth="1"/>
    <col min="2" max="2" width="50.7109375" style="1" customWidth="1"/>
    <col min="3" max="6" width="30.7109375" style="1" customWidth="1"/>
    <col min="7" max="7" width="10.7109375" style="1" customWidth="1"/>
    <col min="8" max="9" width="14.7109375" style="1" customWidth="1"/>
    <col min="10" max="10" width="50.7109375" style="1" customWidth="1"/>
    <col min="11" max="16384" width="9.140625" style="1"/>
  </cols>
  <sheetData>
    <row r="1" spans="1:10" x14ac:dyDescent="0.25">
      <c r="A1" s="2" t="s">
        <v>0</v>
      </c>
      <c r="B1" s="2" t="s">
        <v>143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144</v>
      </c>
      <c r="H1" s="2" t="s">
        <v>150</v>
      </c>
      <c r="I1" s="2" t="s">
        <v>151</v>
      </c>
      <c r="J1" s="2" t="s">
        <v>154</v>
      </c>
    </row>
    <row r="2" spans="1:10" x14ac:dyDescent="0.25">
      <c r="A2" s="6">
        <v>1</v>
      </c>
      <c r="B2" s="3" t="s">
        <v>146</v>
      </c>
      <c r="C2" s="3" t="s">
        <v>94</v>
      </c>
      <c r="D2" s="3" t="s">
        <v>148</v>
      </c>
      <c r="E2" s="3" t="s">
        <v>51</v>
      </c>
      <c r="F2" s="3" t="s">
        <v>148</v>
      </c>
      <c r="G2" s="3" t="s">
        <v>145</v>
      </c>
      <c r="H2" s="3" t="s">
        <v>152</v>
      </c>
      <c r="I2" s="3" t="s">
        <v>153</v>
      </c>
      <c r="J2" s="3"/>
    </row>
    <row r="3" spans="1:10" x14ac:dyDescent="0.25">
      <c r="A3" s="6">
        <v>2</v>
      </c>
      <c r="B3" s="3" t="s">
        <v>147</v>
      </c>
      <c r="C3" s="3" t="s">
        <v>104</v>
      </c>
      <c r="D3" s="3" t="s">
        <v>96</v>
      </c>
      <c r="E3" s="3" t="s">
        <v>94</v>
      </c>
      <c r="F3" s="3" t="s">
        <v>96</v>
      </c>
      <c r="G3" s="3" t="s">
        <v>145</v>
      </c>
      <c r="H3" s="3" t="s">
        <v>152</v>
      </c>
      <c r="I3" s="3" t="s">
        <v>153</v>
      </c>
      <c r="J3" s="3"/>
    </row>
  </sheetData>
  <phoneticPr fontId="4"/>
  <pageMargins left="0.75" right="0.75" top="0.75" bottom="0.5" header="0.5" footer="0.75"/>
  <pageSetup paperSize="9" scale="4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H31"/>
  <sheetViews>
    <sheetView workbookViewId="0"/>
  </sheetViews>
  <sheetFormatPr defaultRowHeight="18.75" x14ac:dyDescent="0.25"/>
  <cols>
    <col min="1" max="1" width="5.7109375" style="1" customWidth="1"/>
    <col min="2" max="3" width="30.7109375" style="1" customWidth="1"/>
    <col min="4" max="4" width="17.7109375" style="1" customWidth="1"/>
    <col min="5" max="6" width="8.7109375" style="1" customWidth="1"/>
    <col min="7" max="8" width="40.7109375" style="1" customWidth="1"/>
    <col min="9" max="9" width="9.140625" style="1" customWidth="1"/>
    <col min="10" max="16384" width="9.140625" style="1"/>
  </cols>
  <sheetData>
    <row r="1" spans="1:8" x14ac:dyDescent="0.25">
      <c r="A1" s="2" t="s">
        <v>0</v>
      </c>
      <c r="B1" s="2" t="s">
        <v>1</v>
      </c>
      <c r="C1" s="2" t="s">
        <v>155</v>
      </c>
    </row>
    <row r="2" spans="1:8" x14ac:dyDescent="0.25">
      <c r="A2" s="3">
        <f>_xlfn.XLOOKUP(B2,テーブル一覧!C2:C4,テーブル一覧!A2:A4)</f>
        <v>1</v>
      </c>
      <c r="B2" s="3" t="s">
        <v>135</v>
      </c>
      <c r="C2" s="3" t="s">
        <v>129</v>
      </c>
    </row>
    <row r="4" spans="1:8" x14ac:dyDescent="0.25">
      <c r="A4" s="2" t="s">
        <v>0</v>
      </c>
      <c r="B4" s="2" t="s">
        <v>2</v>
      </c>
      <c r="C4" s="2" t="s">
        <v>155</v>
      </c>
      <c r="D4" s="2" t="s">
        <v>3</v>
      </c>
      <c r="E4" s="2" t="s">
        <v>4</v>
      </c>
      <c r="F4" s="2" t="s">
        <v>5</v>
      </c>
      <c r="G4" s="2" t="s">
        <v>149</v>
      </c>
      <c r="H4" s="2" t="s">
        <v>154</v>
      </c>
    </row>
    <row r="5" spans="1:8" x14ac:dyDescent="0.25">
      <c r="A5" s="3">
        <v>1</v>
      </c>
      <c r="B5" s="3" t="s">
        <v>20</v>
      </c>
      <c r="C5" s="3" t="s">
        <v>21</v>
      </c>
      <c r="D5" s="3" t="s">
        <v>156</v>
      </c>
      <c r="E5" s="3" t="s">
        <v>7</v>
      </c>
      <c r="F5" s="3" t="s">
        <v>8</v>
      </c>
      <c r="G5" s="3"/>
      <c r="H5" s="3"/>
    </row>
    <row r="6" spans="1:8" x14ac:dyDescent="0.25">
      <c r="A6" s="3">
        <v>2</v>
      </c>
      <c r="B6" s="3" t="s">
        <v>52</v>
      </c>
      <c r="C6" s="3" t="s">
        <v>53</v>
      </c>
      <c r="D6" s="3" t="s">
        <v>158</v>
      </c>
      <c r="E6" s="3" t="s">
        <v>7</v>
      </c>
      <c r="F6" s="3"/>
      <c r="G6" s="3"/>
      <c r="H6" s="3"/>
    </row>
    <row r="7" spans="1:8" x14ac:dyDescent="0.25">
      <c r="A7" s="3">
        <v>3</v>
      </c>
      <c r="B7" s="3" t="s">
        <v>93</v>
      </c>
      <c r="C7" s="3" t="s">
        <v>54</v>
      </c>
      <c r="D7" s="3" t="s">
        <v>13</v>
      </c>
      <c r="E7" s="3"/>
      <c r="F7" s="3"/>
      <c r="G7" s="3"/>
      <c r="H7" s="3"/>
    </row>
    <row r="8" spans="1:8" x14ac:dyDescent="0.25">
      <c r="A8" s="3">
        <v>4</v>
      </c>
      <c r="B8" s="3" t="s">
        <v>55</v>
      </c>
      <c r="C8" s="3" t="s">
        <v>56</v>
      </c>
      <c r="D8" s="3" t="s">
        <v>42</v>
      </c>
      <c r="E8" s="3"/>
      <c r="F8" s="3"/>
      <c r="G8" s="3"/>
      <c r="H8" s="3"/>
    </row>
    <row r="9" spans="1:8" x14ac:dyDescent="0.25">
      <c r="A9" s="3">
        <v>5</v>
      </c>
      <c r="B9" s="3" t="s">
        <v>57</v>
      </c>
      <c r="C9" s="3" t="s">
        <v>58</v>
      </c>
      <c r="D9" s="3" t="s">
        <v>156</v>
      </c>
      <c r="E9" s="3"/>
      <c r="F9" s="3"/>
      <c r="G9" s="3"/>
      <c r="H9" s="3"/>
    </row>
    <row r="10" spans="1:8" x14ac:dyDescent="0.25">
      <c r="A10" s="3">
        <v>6</v>
      </c>
      <c r="B10" s="3" t="s">
        <v>59</v>
      </c>
      <c r="C10" s="3" t="s">
        <v>60</v>
      </c>
      <c r="D10" s="3" t="s">
        <v>14</v>
      </c>
      <c r="E10" s="3"/>
      <c r="F10" s="3"/>
      <c r="G10" s="3"/>
      <c r="H10" s="3"/>
    </row>
    <row r="11" spans="1:8" x14ac:dyDescent="0.25">
      <c r="A11" s="3">
        <v>7</v>
      </c>
      <c r="B11" s="3" t="s">
        <v>61</v>
      </c>
      <c r="C11" s="3" t="s">
        <v>62</v>
      </c>
      <c r="D11" s="3" t="s">
        <v>158</v>
      </c>
      <c r="E11" s="3"/>
      <c r="F11" s="3"/>
      <c r="G11" s="3"/>
      <c r="H11" s="3"/>
    </row>
    <row r="12" spans="1:8" x14ac:dyDescent="0.25">
      <c r="A12" s="3">
        <v>8</v>
      </c>
      <c r="B12" s="3" t="s">
        <v>49</v>
      </c>
      <c r="C12" s="3" t="s">
        <v>50</v>
      </c>
      <c r="D12" s="3" t="s">
        <v>156</v>
      </c>
      <c r="E12" s="3"/>
      <c r="F12" s="3"/>
      <c r="G12" s="3"/>
      <c r="H12" s="3"/>
    </row>
    <row r="13" spans="1:8" x14ac:dyDescent="0.25">
      <c r="A13" s="3">
        <v>9</v>
      </c>
      <c r="B13" s="3" t="s">
        <v>130</v>
      </c>
      <c r="C13" s="3" t="s">
        <v>48</v>
      </c>
      <c r="D13" s="3" t="s">
        <v>156</v>
      </c>
      <c r="E13" s="3"/>
      <c r="F13" s="3"/>
      <c r="G13" s="3"/>
      <c r="H13" s="3"/>
    </row>
    <row r="14" spans="1:8" x14ac:dyDescent="0.25">
      <c r="A14" s="3">
        <v>10</v>
      </c>
      <c r="B14" s="3" t="s">
        <v>86</v>
      </c>
      <c r="C14" s="3" t="s">
        <v>87</v>
      </c>
      <c r="D14" s="3" t="s">
        <v>156</v>
      </c>
      <c r="E14" s="3"/>
      <c r="F14" s="3"/>
      <c r="G14" s="3"/>
      <c r="H14" s="3"/>
    </row>
    <row r="15" spans="1:8" x14ac:dyDescent="0.25">
      <c r="A15" s="3">
        <v>11</v>
      </c>
      <c r="B15" s="3" t="s">
        <v>63</v>
      </c>
      <c r="C15" s="3" t="s">
        <v>64</v>
      </c>
      <c r="D15" s="3" t="s">
        <v>42</v>
      </c>
      <c r="E15" s="3"/>
      <c r="F15" s="3"/>
      <c r="G15" s="3"/>
      <c r="H15" s="3"/>
    </row>
    <row r="16" spans="1:8" x14ac:dyDescent="0.25">
      <c r="A16" s="3">
        <v>12</v>
      </c>
      <c r="B16" s="3" t="s">
        <v>65</v>
      </c>
      <c r="C16" s="3" t="s">
        <v>66</v>
      </c>
      <c r="D16" s="3" t="s">
        <v>42</v>
      </c>
      <c r="E16" s="3"/>
      <c r="F16" s="3"/>
      <c r="G16" s="3"/>
      <c r="H16" s="3"/>
    </row>
    <row r="17" spans="1:8" x14ac:dyDescent="0.25">
      <c r="A17" s="3">
        <v>13</v>
      </c>
      <c r="B17" s="3" t="s">
        <v>67</v>
      </c>
      <c r="C17" s="3" t="s">
        <v>68</v>
      </c>
      <c r="D17" s="3" t="s">
        <v>14</v>
      </c>
      <c r="E17" s="3"/>
      <c r="F17" s="3"/>
      <c r="G17" s="3"/>
      <c r="H17" s="3"/>
    </row>
    <row r="18" spans="1:8" x14ac:dyDescent="0.25">
      <c r="A18" s="3">
        <v>14</v>
      </c>
      <c r="B18" s="3" t="s">
        <v>69</v>
      </c>
      <c r="C18" s="3" t="s">
        <v>70</v>
      </c>
      <c r="D18" s="3" t="s">
        <v>14</v>
      </c>
      <c r="E18" s="3"/>
      <c r="F18" s="3"/>
      <c r="G18" s="3"/>
      <c r="H18" s="3"/>
    </row>
    <row r="19" spans="1:8" x14ac:dyDescent="0.25">
      <c r="A19" s="3">
        <v>15</v>
      </c>
      <c r="B19" s="3" t="s">
        <v>71</v>
      </c>
      <c r="C19" s="3" t="s">
        <v>72</v>
      </c>
      <c r="D19" s="3" t="s">
        <v>158</v>
      </c>
      <c r="E19" s="3"/>
      <c r="F19" s="3"/>
      <c r="G19" s="3"/>
      <c r="H19" s="3"/>
    </row>
    <row r="20" spans="1:8" x14ac:dyDescent="0.25">
      <c r="A20" s="3">
        <v>16</v>
      </c>
      <c r="B20" s="3" t="s">
        <v>73</v>
      </c>
      <c r="C20" s="3" t="s">
        <v>74</v>
      </c>
      <c r="D20" s="3" t="s">
        <v>158</v>
      </c>
      <c r="E20" s="3"/>
      <c r="F20" s="3"/>
      <c r="G20" s="3"/>
      <c r="H20" s="3"/>
    </row>
    <row r="21" spans="1:8" x14ac:dyDescent="0.25">
      <c r="A21" s="3">
        <v>17</v>
      </c>
      <c r="B21" s="3" t="s">
        <v>75</v>
      </c>
      <c r="C21" s="3" t="s">
        <v>76</v>
      </c>
      <c r="D21" s="3" t="s">
        <v>162</v>
      </c>
      <c r="E21" s="3"/>
      <c r="F21" s="3"/>
      <c r="G21" s="3"/>
      <c r="H21" s="3"/>
    </row>
    <row r="22" spans="1:8" x14ac:dyDescent="0.25">
      <c r="A22" s="3">
        <v>18</v>
      </c>
      <c r="B22" s="3" t="s">
        <v>77</v>
      </c>
      <c r="C22" s="3" t="s">
        <v>78</v>
      </c>
      <c r="D22" s="3" t="s">
        <v>162</v>
      </c>
      <c r="E22" s="3"/>
      <c r="F22" s="3"/>
      <c r="G22" s="3"/>
      <c r="H22" s="3"/>
    </row>
    <row r="23" spans="1:8" x14ac:dyDescent="0.25">
      <c r="A23" s="3">
        <v>19</v>
      </c>
      <c r="B23" s="3" t="s">
        <v>79</v>
      </c>
      <c r="C23" s="3" t="s">
        <v>80</v>
      </c>
      <c r="D23" s="3" t="s">
        <v>162</v>
      </c>
      <c r="E23" s="3"/>
      <c r="F23" s="3"/>
      <c r="G23" s="3"/>
      <c r="H23" s="3"/>
    </row>
    <row r="24" spans="1:8" x14ac:dyDescent="0.25">
      <c r="A24" s="3">
        <v>20</v>
      </c>
      <c r="B24" s="3" t="s">
        <v>81</v>
      </c>
      <c r="C24" s="3" t="s">
        <v>82</v>
      </c>
      <c r="D24" s="3" t="s">
        <v>162</v>
      </c>
      <c r="E24" s="3"/>
      <c r="F24" s="3"/>
      <c r="G24" s="3"/>
      <c r="H24" s="3"/>
    </row>
    <row r="25" spans="1:8" x14ac:dyDescent="0.25">
      <c r="A25" s="3">
        <v>21</v>
      </c>
      <c r="B25" s="3" t="s">
        <v>83</v>
      </c>
      <c r="C25" s="3" t="s">
        <v>84</v>
      </c>
      <c r="D25" s="3" t="s">
        <v>162</v>
      </c>
      <c r="E25" s="3"/>
      <c r="F25" s="3"/>
      <c r="G25" s="3"/>
      <c r="H25" s="3"/>
    </row>
    <row r="26" spans="1:8" x14ac:dyDescent="0.25">
      <c r="A26" s="3">
        <v>22</v>
      </c>
      <c r="B26" s="3" t="s">
        <v>36</v>
      </c>
      <c r="C26" s="3" t="s">
        <v>37</v>
      </c>
      <c r="D26" s="3" t="s">
        <v>13</v>
      </c>
      <c r="E26" s="3"/>
      <c r="F26" s="3"/>
      <c r="G26" s="3"/>
      <c r="H26" s="3"/>
    </row>
    <row r="27" spans="1:8" x14ac:dyDescent="0.25">
      <c r="A27" s="3">
        <v>23</v>
      </c>
      <c r="B27" s="3" t="s">
        <v>11</v>
      </c>
      <c r="C27" s="3" t="s">
        <v>12</v>
      </c>
      <c r="D27" s="3" t="s">
        <v>13</v>
      </c>
      <c r="E27" s="3"/>
      <c r="F27" s="3"/>
      <c r="G27" s="3"/>
      <c r="H27" s="3"/>
    </row>
    <row r="28" spans="1:8" x14ac:dyDescent="0.25">
      <c r="A28" s="3">
        <v>24</v>
      </c>
      <c r="B28" s="3" t="s">
        <v>15</v>
      </c>
      <c r="C28" s="3" t="s">
        <v>16</v>
      </c>
      <c r="D28" s="3" t="s">
        <v>156</v>
      </c>
      <c r="E28" s="3" t="s">
        <v>7</v>
      </c>
      <c r="F28" s="3"/>
      <c r="G28" s="3"/>
      <c r="H28" s="3"/>
    </row>
    <row r="29" spans="1:8" x14ac:dyDescent="0.25">
      <c r="A29" s="3">
        <v>25</v>
      </c>
      <c r="B29" s="3" t="s">
        <v>17</v>
      </c>
      <c r="C29" s="3" t="s">
        <v>18</v>
      </c>
      <c r="D29" s="3" t="s">
        <v>159</v>
      </c>
      <c r="E29" s="3" t="s">
        <v>7</v>
      </c>
      <c r="F29" s="3"/>
      <c r="G29" s="3"/>
      <c r="H29" s="3"/>
    </row>
    <row r="31" spans="1:8" x14ac:dyDescent="0.25">
      <c r="A31" s="4" t="s">
        <v>19</v>
      </c>
    </row>
  </sheetData>
  <phoneticPr fontId="4"/>
  <hyperlinks>
    <hyperlink ref="A31" location="'テーブル一覧'!A1" display="テーブル一覧に戻る" xr:uid="{00000000-0004-0000-2800-000000000000}"/>
  </hyperlinks>
  <pageMargins left="0.75" right="0.75" top="0.75" bottom="0.5" header="0.5" footer="0.75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8"/>
  <sheetViews>
    <sheetView workbookViewId="0">
      <selection activeCell="C17" sqref="C17"/>
    </sheetView>
  </sheetViews>
  <sheetFormatPr defaultRowHeight="18.75" x14ac:dyDescent="0.25"/>
  <cols>
    <col min="1" max="1" width="5.7109375" style="1" customWidth="1"/>
    <col min="2" max="3" width="30.7109375" style="1" customWidth="1"/>
    <col min="4" max="4" width="17.7109375" style="1" customWidth="1"/>
    <col min="5" max="6" width="8.7109375" style="1" customWidth="1"/>
    <col min="7" max="8" width="40.7109375" style="1" customWidth="1"/>
    <col min="9" max="9" width="9.140625" style="1" customWidth="1"/>
    <col min="10" max="16384" width="9.140625" style="1"/>
  </cols>
  <sheetData>
    <row r="1" spans="1:8" x14ac:dyDescent="0.25">
      <c r="A1" s="2" t="s">
        <v>0</v>
      </c>
      <c r="B1" s="2" t="s">
        <v>1</v>
      </c>
      <c r="C1" s="2" t="s">
        <v>155</v>
      </c>
    </row>
    <row r="2" spans="1:8" x14ac:dyDescent="0.25">
      <c r="A2" s="3">
        <f>_xlfn.XLOOKUP(B2,テーブル一覧!C2:C4,テーブル一覧!A2:A4)</f>
        <v>2</v>
      </c>
      <c r="B2" s="3" t="s">
        <v>94</v>
      </c>
      <c r="C2" s="3" t="s">
        <v>95</v>
      </c>
    </row>
    <row r="4" spans="1:8" x14ac:dyDescent="0.25">
      <c r="A4" s="2" t="s">
        <v>0</v>
      </c>
      <c r="B4" s="2" t="s">
        <v>2</v>
      </c>
      <c r="C4" s="2" t="s">
        <v>155</v>
      </c>
      <c r="D4" s="2" t="s">
        <v>3</v>
      </c>
      <c r="E4" s="2" t="s">
        <v>4</v>
      </c>
      <c r="F4" s="2" t="s">
        <v>5</v>
      </c>
      <c r="G4" s="2" t="s">
        <v>149</v>
      </c>
      <c r="H4" s="2" t="s">
        <v>154</v>
      </c>
    </row>
    <row r="5" spans="1:8" x14ac:dyDescent="0.25">
      <c r="A5" s="3">
        <v>1</v>
      </c>
      <c r="B5" s="3" t="s">
        <v>96</v>
      </c>
      <c r="C5" s="3" t="s">
        <v>97</v>
      </c>
      <c r="D5" s="3" t="s">
        <v>156</v>
      </c>
      <c r="E5" s="3" t="s">
        <v>7</v>
      </c>
      <c r="F5" s="3" t="s">
        <v>8</v>
      </c>
      <c r="G5" s="3"/>
      <c r="H5" s="3"/>
    </row>
    <row r="6" spans="1:8" x14ac:dyDescent="0.25">
      <c r="A6" s="3">
        <v>2</v>
      </c>
      <c r="B6" s="3" t="s">
        <v>20</v>
      </c>
      <c r="C6" s="3" t="s">
        <v>21</v>
      </c>
      <c r="D6" s="3" t="s">
        <v>156</v>
      </c>
      <c r="E6" s="3" t="s">
        <v>7</v>
      </c>
      <c r="F6" s="3" t="s">
        <v>22</v>
      </c>
      <c r="G6" s="3" t="s">
        <v>38</v>
      </c>
      <c r="H6" s="3"/>
    </row>
    <row r="7" spans="1:8" x14ac:dyDescent="0.25">
      <c r="A7" s="3">
        <v>3</v>
      </c>
      <c r="B7" s="3" t="s">
        <v>103</v>
      </c>
      <c r="C7" s="3" t="s">
        <v>41</v>
      </c>
      <c r="D7" s="3" t="s">
        <v>42</v>
      </c>
      <c r="E7" s="3"/>
      <c r="F7" s="3"/>
      <c r="G7" s="3"/>
      <c r="H7" s="3"/>
    </row>
    <row r="8" spans="1:8" x14ac:dyDescent="0.25">
      <c r="A8" s="3">
        <v>4</v>
      </c>
      <c r="B8" s="3" t="s">
        <v>98</v>
      </c>
      <c r="C8" s="3" t="s">
        <v>99</v>
      </c>
      <c r="D8" s="3" t="s">
        <v>158</v>
      </c>
      <c r="E8" s="3"/>
      <c r="F8" s="3"/>
      <c r="G8" s="3"/>
      <c r="H8" s="3"/>
    </row>
    <row r="9" spans="1:8" x14ac:dyDescent="0.25">
      <c r="A9" s="3">
        <v>5</v>
      </c>
      <c r="B9" s="3" t="s">
        <v>90</v>
      </c>
      <c r="C9" s="3" t="s">
        <v>43</v>
      </c>
      <c r="D9" s="3" t="s">
        <v>156</v>
      </c>
      <c r="E9" s="3"/>
      <c r="F9" s="3"/>
      <c r="G9" s="3"/>
      <c r="H9" s="3"/>
    </row>
    <row r="10" spans="1:8" x14ac:dyDescent="0.25">
      <c r="A10" s="3">
        <v>6</v>
      </c>
      <c r="B10" s="3" t="s">
        <v>46</v>
      </c>
      <c r="C10" s="3" t="s">
        <v>47</v>
      </c>
      <c r="D10" s="3" t="s">
        <v>13</v>
      </c>
      <c r="E10" s="3"/>
      <c r="F10" s="3"/>
      <c r="G10" s="3"/>
      <c r="H10" s="3"/>
    </row>
    <row r="11" spans="1:8" x14ac:dyDescent="0.25">
      <c r="A11" s="3">
        <v>7</v>
      </c>
      <c r="B11" s="3" t="s">
        <v>39</v>
      </c>
      <c r="C11" s="3" t="s">
        <v>40</v>
      </c>
      <c r="D11" s="3" t="s">
        <v>13</v>
      </c>
      <c r="E11" s="3"/>
      <c r="F11" s="3"/>
      <c r="G11" s="3"/>
      <c r="H11" s="3"/>
    </row>
    <row r="12" spans="1:8" x14ac:dyDescent="0.25">
      <c r="A12" s="3">
        <v>8</v>
      </c>
      <c r="B12" s="3" t="s">
        <v>117</v>
      </c>
      <c r="C12" s="3" t="s">
        <v>118</v>
      </c>
      <c r="D12" s="3" t="s">
        <v>157</v>
      </c>
      <c r="E12" s="3"/>
      <c r="F12" s="3"/>
      <c r="G12" s="3"/>
      <c r="H12" s="3"/>
    </row>
    <row r="13" spans="1:8" x14ac:dyDescent="0.25">
      <c r="A13" s="3">
        <v>9</v>
      </c>
      <c r="B13" s="3" t="s">
        <v>36</v>
      </c>
      <c r="C13" s="3" t="s">
        <v>114</v>
      </c>
      <c r="D13" s="3" t="s">
        <v>13</v>
      </c>
      <c r="E13" s="3"/>
      <c r="F13" s="3"/>
      <c r="G13" s="3"/>
      <c r="H13" s="3"/>
    </row>
    <row r="14" spans="1:8" x14ac:dyDescent="0.25">
      <c r="A14" s="3">
        <v>10</v>
      </c>
      <c r="B14" s="3" t="s">
        <v>88</v>
      </c>
      <c r="C14" s="3" t="s">
        <v>12</v>
      </c>
      <c r="D14" s="3" t="s">
        <v>13</v>
      </c>
      <c r="E14" s="3"/>
      <c r="F14" s="3"/>
      <c r="G14" s="3"/>
      <c r="H14" s="3"/>
    </row>
    <row r="15" spans="1:8" x14ac:dyDescent="0.25">
      <c r="A15" s="3">
        <v>11</v>
      </c>
      <c r="B15" s="3" t="s">
        <v>15</v>
      </c>
      <c r="C15" s="3" t="s">
        <v>16</v>
      </c>
      <c r="D15" s="3" t="s">
        <v>156</v>
      </c>
      <c r="E15" s="3" t="s">
        <v>7</v>
      </c>
      <c r="F15" s="3"/>
      <c r="G15" s="3"/>
      <c r="H15" s="3"/>
    </row>
    <row r="16" spans="1:8" x14ac:dyDescent="0.25">
      <c r="A16" s="3">
        <v>12</v>
      </c>
      <c r="B16" s="3" t="s">
        <v>17</v>
      </c>
      <c r="C16" s="3" t="s">
        <v>18</v>
      </c>
      <c r="D16" s="3" t="s">
        <v>159</v>
      </c>
      <c r="E16" s="3" t="s">
        <v>7</v>
      </c>
      <c r="F16" s="3"/>
      <c r="G16" s="3"/>
      <c r="H16" s="3"/>
    </row>
    <row r="18" spans="1:1" x14ac:dyDescent="0.25">
      <c r="A18" s="4" t="s">
        <v>19</v>
      </c>
    </row>
  </sheetData>
  <phoneticPr fontId="4"/>
  <hyperlinks>
    <hyperlink ref="A18" location="'テーブル一覧'!A1" display="テーブル一覧に戻る" xr:uid="{00000000-0004-0000-0500-000000000000}"/>
  </hyperlinks>
  <pageMargins left="0.75" right="0.75" top="0.75" bottom="0.5" header="0.5" footer="0.7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3"/>
  <sheetViews>
    <sheetView workbookViewId="0">
      <selection activeCell="G35" sqref="G35"/>
    </sheetView>
  </sheetViews>
  <sheetFormatPr defaultRowHeight="18.75" x14ac:dyDescent="0.25"/>
  <cols>
    <col min="1" max="1" width="5.7109375" style="1" customWidth="1"/>
    <col min="2" max="3" width="30.7109375" style="1" customWidth="1"/>
    <col min="4" max="4" width="17.7109375" style="1" customWidth="1"/>
    <col min="5" max="6" width="8.7109375" style="1" customWidth="1"/>
    <col min="7" max="8" width="40.7109375" style="1" customWidth="1"/>
    <col min="9" max="9" width="9.140625" style="1" customWidth="1"/>
    <col min="10" max="16384" width="9.140625" style="1"/>
  </cols>
  <sheetData>
    <row r="1" spans="1:8" x14ac:dyDescent="0.25">
      <c r="A1" s="2" t="s">
        <v>0</v>
      </c>
      <c r="B1" s="2" t="s">
        <v>1</v>
      </c>
      <c r="C1" s="2" t="s">
        <v>155</v>
      </c>
    </row>
    <row r="2" spans="1:8" x14ac:dyDescent="0.25">
      <c r="A2" s="3">
        <f>_xlfn.XLOOKUP(B2,テーブル一覧!C2:C4,テーブル一覧!A2:A4)</f>
        <v>3</v>
      </c>
      <c r="B2" s="3" t="s">
        <v>104</v>
      </c>
      <c r="C2" s="3" t="s">
        <v>106</v>
      </c>
    </row>
    <row r="4" spans="1:8" x14ac:dyDescent="0.25">
      <c r="A4" s="2" t="s">
        <v>0</v>
      </c>
      <c r="B4" s="2" t="s">
        <v>2</v>
      </c>
      <c r="C4" s="2" t="s">
        <v>155</v>
      </c>
      <c r="D4" s="2" t="s">
        <v>3</v>
      </c>
      <c r="E4" s="2" t="s">
        <v>4</v>
      </c>
      <c r="F4" s="2" t="s">
        <v>5</v>
      </c>
      <c r="G4" s="2" t="s">
        <v>149</v>
      </c>
      <c r="H4" s="2" t="s">
        <v>154</v>
      </c>
    </row>
    <row r="5" spans="1:8" x14ac:dyDescent="0.25">
      <c r="A5" s="3">
        <v>1</v>
      </c>
      <c r="B5" s="3" t="s">
        <v>107</v>
      </c>
      <c r="C5" s="3" t="s">
        <v>108</v>
      </c>
      <c r="D5" s="3" t="s">
        <v>156</v>
      </c>
      <c r="E5" s="3" t="s">
        <v>7</v>
      </c>
      <c r="F5" s="3" t="s">
        <v>8</v>
      </c>
      <c r="G5" s="3"/>
      <c r="H5" s="3"/>
    </row>
    <row r="6" spans="1:8" x14ac:dyDescent="0.25">
      <c r="A6" s="3">
        <v>2</v>
      </c>
      <c r="B6" s="3" t="s">
        <v>20</v>
      </c>
      <c r="C6" s="3" t="s">
        <v>21</v>
      </c>
      <c r="D6" s="3" t="s">
        <v>156</v>
      </c>
      <c r="E6" s="3" t="s">
        <v>7</v>
      </c>
      <c r="F6" s="3"/>
      <c r="G6" s="3"/>
      <c r="H6" s="3"/>
    </row>
    <row r="7" spans="1:8" x14ac:dyDescent="0.25">
      <c r="A7" s="3">
        <v>3</v>
      </c>
      <c r="B7" s="3" t="s">
        <v>96</v>
      </c>
      <c r="C7" s="3" t="s">
        <v>97</v>
      </c>
      <c r="D7" s="3" t="s">
        <v>156</v>
      </c>
      <c r="E7" s="3" t="s">
        <v>7</v>
      </c>
      <c r="F7" s="3" t="s">
        <v>22</v>
      </c>
      <c r="G7" s="3" t="s">
        <v>109</v>
      </c>
      <c r="H7" s="3"/>
    </row>
    <row r="8" spans="1:8" x14ac:dyDescent="0.25">
      <c r="A8" s="3">
        <v>4</v>
      </c>
      <c r="B8" s="3" t="s">
        <v>112</v>
      </c>
      <c r="C8" s="3" t="s">
        <v>23</v>
      </c>
      <c r="D8" s="3" t="s">
        <v>158</v>
      </c>
      <c r="E8" s="3"/>
      <c r="F8" s="3"/>
      <c r="G8" s="3"/>
      <c r="H8" s="3"/>
    </row>
    <row r="9" spans="1:8" x14ac:dyDescent="0.25">
      <c r="A9" s="3">
        <v>5</v>
      </c>
      <c r="B9" s="3" t="s">
        <v>113</v>
      </c>
      <c r="C9" s="3" t="s">
        <v>24</v>
      </c>
      <c r="D9" s="3" t="s">
        <v>158</v>
      </c>
      <c r="E9" s="3"/>
      <c r="F9" s="3"/>
      <c r="G9" s="3"/>
      <c r="H9" s="3"/>
    </row>
    <row r="10" spans="1:8" x14ac:dyDescent="0.25">
      <c r="A10" s="3">
        <v>6</v>
      </c>
      <c r="B10" s="3" t="s">
        <v>110</v>
      </c>
      <c r="C10" s="3" t="s">
        <v>111</v>
      </c>
      <c r="D10" s="3" t="s">
        <v>158</v>
      </c>
      <c r="E10" s="3"/>
      <c r="F10" s="3"/>
      <c r="G10" s="3"/>
      <c r="H10" s="3"/>
    </row>
    <row r="11" spans="1:8" x14ac:dyDescent="0.25">
      <c r="A11" s="3">
        <v>7</v>
      </c>
      <c r="B11" s="3" t="s">
        <v>25</v>
      </c>
      <c r="C11" s="3" t="s">
        <v>26</v>
      </c>
      <c r="D11" s="3" t="s">
        <v>14</v>
      </c>
      <c r="E11" s="3"/>
      <c r="F11" s="3"/>
      <c r="G11" s="3"/>
      <c r="H11" s="3"/>
    </row>
    <row r="12" spans="1:8" x14ac:dyDescent="0.25">
      <c r="A12" s="3">
        <v>8</v>
      </c>
      <c r="B12" s="3" t="s">
        <v>27</v>
      </c>
      <c r="C12" s="3" t="s">
        <v>116</v>
      </c>
      <c r="D12" s="3" t="s">
        <v>161</v>
      </c>
      <c r="E12" s="3"/>
      <c r="F12" s="3"/>
      <c r="G12" s="3"/>
      <c r="H12" s="3"/>
    </row>
    <row r="13" spans="1:8" x14ac:dyDescent="0.25">
      <c r="A13" s="3">
        <v>9</v>
      </c>
      <c r="B13" s="3" t="s">
        <v>28</v>
      </c>
      <c r="C13" s="3" t="s">
        <v>29</v>
      </c>
      <c r="D13" s="3" t="s">
        <v>161</v>
      </c>
      <c r="E13" s="3"/>
      <c r="F13" s="3"/>
      <c r="G13" s="3"/>
      <c r="H13" s="3"/>
    </row>
    <row r="14" spans="1:8" x14ac:dyDescent="0.25">
      <c r="A14" s="3">
        <v>10</v>
      </c>
      <c r="B14" s="3" t="s">
        <v>30</v>
      </c>
      <c r="C14" s="3" t="s">
        <v>31</v>
      </c>
      <c r="D14" s="3" t="s">
        <v>161</v>
      </c>
      <c r="E14" s="3"/>
      <c r="F14" s="3"/>
      <c r="G14" s="3"/>
      <c r="H14" s="3"/>
    </row>
    <row r="15" spans="1:8" x14ac:dyDescent="0.25">
      <c r="A15" s="3">
        <v>11</v>
      </c>
      <c r="B15" s="3" t="s">
        <v>32</v>
      </c>
      <c r="C15" s="3" t="s">
        <v>33</v>
      </c>
      <c r="D15" s="3" t="s">
        <v>156</v>
      </c>
      <c r="E15" s="3"/>
      <c r="F15" s="3"/>
      <c r="G15" s="3"/>
      <c r="H15" s="3"/>
    </row>
    <row r="16" spans="1:8" x14ac:dyDescent="0.25">
      <c r="A16" s="3">
        <v>12</v>
      </c>
      <c r="B16" s="3" t="s">
        <v>34</v>
      </c>
      <c r="C16" s="3" t="s">
        <v>35</v>
      </c>
      <c r="D16" s="3" t="s">
        <v>156</v>
      </c>
      <c r="E16" s="3"/>
      <c r="F16" s="3"/>
      <c r="G16" s="3"/>
      <c r="H16" s="3"/>
    </row>
    <row r="17" spans="1:8" x14ac:dyDescent="0.25">
      <c r="A17" s="3">
        <v>13</v>
      </c>
      <c r="B17" s="3" t="s">
        <v>89</v>
      </c>
      <c r="C17" s="3" t="s">
        <v>126</v>
      </c>
      <c r="D17" s="3" t="s">
        <v>14</v>
      </c>
      <c r="E17" s="3"/>
      <c r="F17" s="3"/>
      <c r="G17" s="5"/>
      <c r="H17" s="3"/>
    </row>
    <row r="18" spans="1:8" x14ac:dyDescent="0.25">
      <c r="A18" s="3">
        <v>14</v>
      </c>
      <c r="B18" s="3" t="s">
        <v>127</v>
      </c>
      <c r="C18" s="3" t="s">
        <v>128</v>
      </c>
      <c r="D18" s="3" t="s">
        <v>160</v>
      </c>
      <c r="E18" s="3"/>
      <c r="F18" s="3"/>
      <c r="G18" s="3"/>
      <c r="H18" s="3"/>
    </row>
    <row r="19" spans="1:8" x14ac:dyDescent="0.25">
      <c r="A19" s="3">
        <v>15</v>
      </c>
      <c r="B19" s="3" t="s">
        <v>124</v>
      </c>
      <c r="C19" s="3" t="s">
        <v>123</v>
      </c>
      <c r="D19" s="3" t="s">
        <v>160</v>
      </c>
      <c r="E19" s="3"/>
      <c r="F19" s="3"/>
      <c r="G19" s="3"/>
      <c r="H19" s="3"/>
    </row>
    <row r="20" spans="1:8" x14ac:dyDescent="0.25">
      <c r="A20" s="3">
        <v>16</v>
      </c>
      <c r="B20" s="3" t="s">
        <v>91</v>
      </c>
      <c r="C20" s="3" t="s">
        <v>125</v>
      </c>
      <c r="D20" s="3" t="s">
        <v>14</v>
      </c>
      <c r="E20" s="3"/>
      <c r="F20" s="3"/>
      <c r="G20" s="5"/>
      <c r="H20" s="3"/>
    </row>
    <row r="21" spans="1:8" x14ac:dyDescent="0.25">
      <c r="A21" s="3">
        <v>17</v>
      </c>
      <c r="B21" s="3" t="s">
        <v>119</v>
      </c>
      <c r="C21" s="3" t="s">
        <v>120</v>
      </c>
      <c r="D21" s="3" t="s">
        <v>160</v>
      </c>
      <c r="E21" s="3"/>
      <c r="F21" s="3"/>
      <c r="G21" s="3"/>
      <c r="H21" s="3"/>
    </row>
    <row r="22" spans="1:8" x14ac:dyDescent="0.25">
      <c r="A22" s="3">
        <v>18</v>
      </c>
      <c r="B22" s="3" t="s">
        <v>121</v>
      </c>
      <c r="C22" s="3" t="s">
        <v>122</v>
      </c>
      <c r="D22" s="3" t="s">
        <v>92</v>
      </c>
      <c r="E22" s="3"/>
      <c r="F22" s="3"/>
      <c r="G22" s="3"/>
      <c r="H22" s="3"/>
    </row>
    <row r="23" spans="1:8" x14ac:dyDescent="0.25">
      <c r="A23" s="3">
        <v>19</v>
      </c>
      <c r="B23" s="3" t="s">
        <v>133</v>
      </c>
      <c r="C23" s="3" t="s">
        <v>131</v>
      </c>
      <c r="D23" s="3" t="s">
        <v>160</v>
      </c>
      <c r="E23" s="3"/>
      <c r="F23" s="3"/>
      <c r="G23" s="3"/>
      <c r="H23" s="3"/>
    </row>
    <row r="24" spans="1:8" x14ac:dyDescent="0.25">
      <c r="A24" s="3">
        <v>20</v>
      </c>
      <c r="B24" s="3" t="s">
        <v>134</v>
      </c>
      <c r="C24" s="3" t="s">
        <v>132</v>
      </c>
      <c r="D24" s="3" t="s">
        <v>160</v>
      </c>
      <c r="E24" s="3"/>
      <c r="F24" s="3"/>
      <c r="G24" s="3"/>
      <c r="H24" s="3"/>
    </row>
    <row r="25" spans="1:8" x14ac:dyDescent="0.25">
      <c r="A25" s="3">
        <v>21</v>
      </c>
      <c r="B25" s="3" t="s">
        <v>44</v>
      </c>
      <c r="C25" s="3" t="s">
        <v>45</v>
      </c>
      <c r="D25" s="3" t="s">
        <v>156</v>
      </c>
      <c r="E25" s="3"/>
      <c r="F25" s="3"/>
      <c r="G25" s="3"/>
      <c r="H25" s="3"/>
    </row>
    <row r="26" spans="1:8" x14ac:dyDescent="0.25">
      <c r="A26" s="3">
        <v>22</v>
      </c>
      <c r="B26" s="3" t="s">
        <v>115</v>
      </c>
      <c r="C26" s="3" t="s">
        <v>9</v>
      </c>
      <c r="D26" s="3" t="s">
        <v>156</v>
      </c>
      <c r="E26" s="3"/>
      <c r="F26" s="3"/>
      <c r="G26" s="3"/>
      <c r="H26" s="3"/>
    </row>
    <row r="27" spans="1:8" x14ac:dyDescent="0.25">
      <c r="A27" s="3">
        <v>23</v>
      </c>
      <c r="B27" s="3" t="s">
        <v>136</v>
      </c>
      <c r="C27" s="3" t="s">
        <v>137</v>
      </c>
      <c r="D27" s="3" t="s">
        <v>92</v>
      </c>
      <c r="E27" s="3"/>
      <c r="F27" s="3"/>
      <c r="G27" s="3"/>
      <c r="H27" s="3"/>
    </row>
    <row r="28" spans="1:8" x14ac:dyDescent="0.25">
      <c r="A28" s="3">
        <v>24</v>
      </c>
      <c r="B28" s="3" t="s">
        <v>10</v>
      </c>
      <c r="C28" s="3" t="s">
        <v>6</v>
      </c>
      <c r="D28" s="3" t="s">
        <v>157</v>
      </c>
      <c r="E28" s="3"/>
      <c r="F28" s="3"/>
      <c r="G28" s="3"/>
      <c r="H28" s="3"/>
    </row>
    <row r="29" spans="1:8" x14ac:dyDescent="0.25">
      <c r="A29" s="3">
        <v>25</v>
      </c>
      <c r="B29" s="3" t="s">
        <v>11</v>
      </c>
      <c r="C29" s="3" t="s">
        <v>12</v>
      </c>
      <c r="D29" s="3" t="s">
        <v>13</v>
      </c>
      <c r="E29" s="3"/>
      <c r="F29" s="3"/>
      <c r="G29" s="3"/>
      <c r="H29" s="3"/>
    </row>
    <row r="30" spans="1:8" x14ac:dyDescent="0.25">
      <c r="A30" s="3">
        <v>26</v>
      </c>
      <c r="B30" s="3" t="s">
        <v>15</v>
      </c>
      <c r="C30" s="3" t="s">
        <v>16</v>
      </c>
      <c r="D30" s="3" t="s">
        <v>156</v>
      </c>
      <c r="E30" s="3" t="s">
        <v>7</v>
      </c>
      <c r="F30" s="3"/>
      <c r="G30" s="3"/>
      <c r="H30" s="3"/>
    </row>
    <row r="31" spans="1:8" x14ac:dyDescent="0.25">
      <c r="A31" s="3">
        <v>27</v>
      </c>
      <c r="B31" s="3" t="s">
        <v>17</v>
      </c>
      <c r="C31" s="3" t="s">
        <v>18</v>
      </c>
      <c r="D31" s="3" t="s">
        <v>159</v>
      </c>
      <c r="E31" s="3" t="s">
        <v>7</v>
      </c>
      <c r="F31" s="3"/>
      <c r="G31" s="3"/>
      <c r="H31" s="3"/>
    </row>
    <row r="33" spans="1:1" x14ac:dyDescent="0.25">
      <c r="A33" s="4" t="s">
        <v>19</v>
      </c>
    </row>
  </sheetData>
  <phoneticPr fontId="4"/>
  <hyperlinks>
    <hyperlink ref="A33" location="'テーブル一覧'!A1" display="テーブル一覧に戻る" xr:uid="{00000000-0004-0000-0300-000000000000}"/>
  </hyperlinks>
  <pageMargins left="0.75" right="0.75" top="0.75" bottom="0.5" header="0.5" footer="0.7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テーブル一覧</vt:lpstr>
      <vt:lpstr>リレーション一覧</vt:lpstr>
      <vt:lpstr>Work</vt:lpstr>
      <vt:lpstr>AirflowMeasureHeader</vt:lpstr>
      <vt:lpstr>AirflowMeasureSubHeader</vt:lpstr>
      <vt:lpstr>AirflowMeasureHeader!Print_Area</vt:lpstr>
      <vt:lpstr>AirflowMeasureSubHeader!Print_Area</vt:lpstr>
      <vt:lpstr>Work!Print_Area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石渡　雄一</dc:creator>
  <cp:lastModifiedBy>My User</cp:lastModifiedBy>
  <cp:lastPrinted>2026-05-07T14:34:14Z</cp:lastPrinted>
  <dcterms:created xsi:type="dcterms:W3CDTF">2022-01-27T09:22:06Z</dcterms:created>
  <dcterms:modified xsi:type="dcterms:W3CDTF">2026-05-07T15:15:58Z</dcterms:modified>
</cp:coreProperties>
</file>